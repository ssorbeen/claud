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치현황" sheetId="1" r:id="rId1"/>
    <sheet name="입력가이드" sheetId="2" r:id="rId2"/>
    <sheet name="법인목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cols>
    <col min="1" max="1" width="12.83203125" customWidth="1"/>
    <col min="2" max="2" width="14.83203125" customWidth="1"/>
    <col min="3" max="3" width="34.83203125" customWidth="1"/>
    <col min="4" max="4" width="14.83203125" customWidth="1"/>
    <col min="5" max="5" width="8.83203125" customWidth="1"/>
    <col min="6" max="6" width="8.83203125" customWidth="1"/>
    <col min="7" max="7" width="16.83203125" customWidth="1"/>
    <col min="8" max="8" width="8.83203125" customWidth="1"/>
    <col min="9" max="9" width="8.83203125" customWidth="1"/>
    <col min="10" max="10" width="16.83203125" customWidth="1"/>
    <col min="11" max="11" width="8.83203125" customWidth="1"/>
    <col min="12" max="12" width="8.83203125" customWidth="1"/>
    <col min="13" max="13" width="16.83203125" customWidth="1"/>
    <col min="14" max="14" width="8.83203125" customWidth="1"/>
    <col min="15" max="15" width="8.83203125" customWidth="1"/>
    <col min="16" max="16" width="16.83203125" customWidth="1"/>
    <col min="17" max="17" width="8.83203125" customWidth="1"/>
    <col min="18" max="18" width="8.83203125" customWidth="1"/>
    <col min="19" max="19" width="16.83203125" customWidth="1"/>
    <col min="20" max="20" width="10.83203125" customWidth="1"/>
    <col min="21" max="21" width="10.83203125" customWidth="1"/>
    <col min="22" max="22" width="18.83203125" customWidth="1"/>
  </cols>
  <sheetData>
    <row r="1" ht="30" customHeight="1">
      <c r="A1" t="str">
        <v>현대모비스 해외법인 보안솔루션 설치현황</v>
      </c>
    </row>
    <row r="2" ht="18" customHeight="1">
      <c r="A2" t="str">
        <v>작성기준일: 2026. 6. 15.   |   버전: v1.0   |   관리부서: 그룹보안팀</v>
      </c>
    </row>
    <row r="3" ht="22" customHeight="1">
      <c r="A3" t="str">
        <v>기본 정보</v>
      </c>
      <c r="E3" t="str">
        <v>SAC</v>
      </c>
      <c r="H3" t="str">
        <v>DAC</v>
      </c>
      <c r="K3" t="str">
        <v>VMS</v>
      </c>
      <c r="N3" t="str">
        <v>AV</v>
      </c>
      <c r="Q3" t="str">
        <v>EDR</v>
      </c>
      <c r="T3" t="str">
        <v>종합</v>
      </c>
    </row>
    <row r="4" ht="30" customHeight="1" xml:space="preserve">
      <c r="A4" t="str">
        <v>지역</v>
      </c>
      <c r="B4" t="str">
        <v>국가</v>
      </c>
      <c r="C4" t="str">
        <v>법인명</v>
      </c>
      <c r="D4" t="str">
        <v>법인코드</v>
      </c>
      <c r="E4" t="str" xml:space="preserve">
        <v xml:space="preserve">설치여부
(Y/N)</v>
      </c>
      <c r="F4" t="str" xml:space="preserve">
        <v xml:space="preserve">설치율
(%)</v>
      </c>
      <c r="G4" t="str">
        <v>비고</v>
      </c>
      <c r="H4" t="str" xml:space="preserve">
        <v xml:space="preserve">설치여부
(Y/N)</v>
      </c>
      <c r="I4" t="str" xml:space="preserve">
        <v xml:space="preserve">설치율
(%)</v>
      </c>
      <c r="J4" t="str">
        <v>비고</v>
      </c>
      <c r="K4" t="str" xml:space="preserve">
        <v xml:space="preserve">설치여부
(Y/N)</v>
      </c>
      <c r="L4" t="str" xml:space="preserve">
        <v xml:space="preserve">설치율
(%)</v>
      </c>
      <c r="M4" t="str">
        <v>비고</v>
      </c>
      <c r="N4" t="str" xml:space="preserve">
        <v xml:space="preserve">설치여부
(Y/N)</v>
      </c>
      <c r="O4" t="str" xml:space="preserve">
        <v xml:space="preserve">설치율
(%)</v>
      </c>
      <c r="P4" t="str">
        <v>비고</v>
      </c>
      <c r="Q4" t="str" xml:space="preserve">
        <v xml:space="preserve">설치여부
(Y/N)</v>
      </c>
      <c r="R4" t="str" xml:space="preserve">
        <v xml:space="preserve">설치율
(%)</v>
      </c>
      <c r="S4" t="str">
        <v>비고</v>
      </c>
      <c r="T4" t="str" xml:space="preserve">
        <v xml:space="preserve">전체
설치율(%)</v>
      </c>
      <c r="U4" t="str" xml:space="preserve">
        <v xml:space="preserve">설치완료
솔루션 수</v>
      </c>
      <c r="V4" t="str">
        <v>비고</v>
      </c>
    </row>
    <row r="5" ht="18" customHeight="1">
      <c r="A5" t="str">
        <v>아시아</v>
      </c>
      <c r="B5" t="str">
        <v>중국</v>
      </c>
      <c r="C5" t="str">
        <v>Mobis Parts China (Beijing)</v>
      </c>
      <c r="D5" t="str">
        <v>MPC-CN-BJ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>
        <f>IFERROR(AVERAGE(F5,I5,L5,O5,R5),0)</f>
      </c>
      <c r="U5">
        <f>COUNTIF(E5,H5,K5,N5,Q5,"Y")</f>
      </c>
      <c r="V5" t="str">
        <v/>
      </c>
    </row>
    <row r="6" ht="18" customHeight="1">
      <c r="A6" t="str">
        <v>아시아</v>
      </c>
      <c r="B6" t="str">
        <v>중국</v>
      </c>
      <c r="C6" t="str">
        <v>Mobis Parts China (Shanghai)</v>
      </c>
      <c r="D6" t="str">
        <v>MPC-CN-SH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>
        <f>IFERROR(AVERAGE(F6,I6,L6,O6,R6),0)</f>
      </c>
      <c r="U6">
        <f>COUNTIF(E6,H6,K6,N6,Q6,"Y")</f>
      </c>
      <c r="V6" t="str">
        <v/>
      </c>
    </row>
    <row r="7" ht="18" customHeight="1">
      <c r="A7" t="str">
        <v>아시아</v>
      </c>
      <c r="B7" t="str">
        <v>중국</v>
      </c>
      <c r="C7" t="str">
        <v>Hyundai Mobis China (Guangzhou)</v>
      </c>
      <c r="D7" t="str">
        <v>HMC-CN-GZ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>
        <f>IFERROR(AVERAGE(F7,I7,L7,O7,R7),0)</f>
      </c>
      <c r="U7">
        <f>COUNTIF(E7,H7,K7,N7,Q7,"Y")</f>
      </c>
      <c r="V7" t="str">
        <v/>
      </c>
    </row>
    <row r="8" ht="18" customHeight="1">
      <c r="A8" t="str">
        <v>아시아</v>
      </c>
      <c r="B8" t="str">
        <v>인도</v>
      </c>
      <c r="C8" t="str">
        <v>Hyundai Mobis India (Chennai)</v>
      </c>
      <c r="D8" t="str">
        <v>HMI-IN-CH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>
        <f>IFERROR(AVERAGE(F8,I8,L8,O8,R8),0)</f>
      </c>
      <c r="U8">
        <f>COUNTIF(E8,H8,K8,N8,Q8,"Y")</f>
      </c>
      <c r="V8" t="str">
        <v/>
      </c>
    </row>
    <row r="9" ht="18" customHeight="1">
      <c r="A9" t="str">
        <v>아시아</v>
      </c>
      <c r="B9" t="str">
        <v>인도</v>
      </c>
      <c r="C9" t="str">
        <v>Hyundai Mobis India (Delhi)</v>
      </c>
      <c r="D9" t="str">
        <v>HMI-IN-DL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f>IFERROR(AVERAGE(F9,I9,L9,O9,R9),0)</f>
      </c>
      <c r="U9">
        <f>COUNTIF(E9,H9,K9,N9,Q9,"Y")</f>
      </c>
      <c r="V9" t="str">
        <v/>
      </c>
    </row>
    <row r="10" ht="18" customHeight="1">
      <c r="A10" t="str">
        <v>아시아</v>
      </c>
      <c r="B10" t="str">
        <v>일본</v>
      </c>
      <c r="C10" t="str">
        <v>Hyundai Mobis Japan</v>
      </c>
      <c r="D10" t="str">
        <v>HMJ-JP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f>IFERROR(AVERAGE(F10,I10,L10,O10,R10),0)</f>
      </c>
      <c r="U10">
        <f>COUNTIF(E10,H10,K10,N10,Q10,"Y")</f>
      </c>
      <c r="V10" t="str">
        <v/>
      </c>
    </row>
    <row r="11" ht="18" customHeight="1">
      <c r="A11" t="str">
        <v>아시아</v>
      </c>
      <c r="B11" t="str">
        <v>인도네시아</v>
      </c>
      <c r="C11" t="str">
        <v>Hyundai Mobis Indonesia</v>
      </c>
      <c r="D11" t="str">
        <v>HMID-ID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>
        <f>IFERROR(AVERAGE(F11,I11,L11,O11,R11),0)</f>
      </c>
      <c r="U11">
        <f>COUNTIF(E11,H11,K11,N11,Q11,"Y")</f>
      </c>
      <c r="V11" t="str">
        <v/>
      </c>
    </row>
    <row r="12" ht="18" customHeight="1">
      <c r="A12" t="str">
        <v>아시아</v>
      </c>
      <c r="B12" t="str">
        <v>베트남</v>
      </c>
      <c r="C12" t="str">
        <v>Hyundai Mobis Vietnam</v>
      </c>
      <c r="D12" t="str">
        <v>HMVN-VN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f>IFERROR(AVERAGE(F12,I12,L12,O12,R12),0)</f>
      </c>
      <c r="U12">
        <f>COUNTIF(E12,H12,K12,N12,Q12,"Y")</f>
      </c>
      <c r="V12" t="str">
        <v/>
      </c>
    </row>
    <row r="13" ht="18" customHeight="1">
      <c r="A13" t="str">
        <v>아시아</v>
      </c>
      <c r="B13" t="str">
        <v>태국</v>
      </c>
      <c r="C13" t="str">
        <v>Hyundai Mobis Thailand</v>
      </c>
      <c r="D13" t="str">
        <v>HMT-TH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f>IFERROR(AVERAGE(F13,I13,L13,O13,R13),0)</f>
      </c>
      <c r="U13">
        <f>COUNTIF(E13,H13,K13,N13,Q13,"Y")</f>
      </c>
      <c r="V13" t="str">
        <v/>
      </c>
    </row>
    <row r="14" ht="18" customHeight="1">
      <c r="A14" t="str">
        <v>아시아</v>
      </c>
      <c r="B14" t="str">
        <v>호주</v>
      </c>
      <c r="C14" t="str">
        <v>Hyundai Mobis Australia</v>
      </c>
      <c r="D14" t="str">
        <v>HMA-AU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>
        <f>IFERROR(AVERAGE(F14,I14,L14,O14,R14),0)</f>
      </c>
      <c r="U14">
        <f>COUNTIF(E14,H14,K14,N14,Q14,"Y")</f>
      </c>
      <c r="V14" t="str">
        <v/>
      </c>
    </row>
    <row r="15" ht="18" customHeight="1">
      <c r="A15" t="str">
        <v>유럽</v>
      </c>
      <c r="B15" t="str">
        <v>독일</v>
      </c>
      <c r="C15" t="str">
        <v>Hyundai Mobis Germany</v>
      </c>
      <c r="D15" t="str">
        <v>HMDE-DE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f>IFERROR(AVERAGE(F15,I15,L15,O15,R15),0)</f>
      </c>
      <c r="U15">
        <f>COUNTIF(E15,H15,K15,N15,Q15,"Y")</f>
      </c>
      <c r="V15" t="str">
        <v/>
      </c>
    </row>
    <row r="16" ht="18" customHeight="1">
      <c r="A16" t="str">
        <v>유럽</v>
      </c>
      <c r="B16" t="str">
        <v>체코</v>
      </c>
      <c r="C16" t="str">
        <v>Hyundai Mobis Czech</v>
      </c>
      <c r="D16" t="str">
        <v>HMCZ-CZ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>
        <f>IFERROR(AVERAGE(F16,I16,L16,O16,R16),0)</f>
      </c>
      <c r="U16">
        <f>COUNTIF(E16,H16,K16,N16,Q16,"Y")</f>
      </c>
      <c r="V16" t="str">
        <v/>
      </c>
    </row>
    <row r="17" ht="18" customHeight="1">
      <c r="A17" t="str">
        <v>유럽</v>
      </c>
      <c r="B17" t="str">
        <v>슬로바키아</v>
      </c>
      <c r="C17" t="str">
        <v>Hyundai Mobis Slovakia</v>
      </c>
      <c r="D17" t="str">
        <v>HMSK-SK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f>IFERROR(AVERAGE(F17,I17,L17,O17,R17),0)</f>
      </c>
      <c r="U17">
        <f>COUNTIF(E17,H17,K17,N17,Q17,"Y")</f>
      </c>
      <c r="V17" t="str">
        <v/>
      </c>
    </row>
    <row r="18" ht="18" customHeight="1">
      <c r="A18" t="str">
        <v>유럽</v>
      </c>
      <c r="B18" t="str">
        <v>헝가리</v>
      </c>
      <c r="C18" t="str">
        <v>Hyundai Mobis Hungary</v>
      </c>
      <c r="D18" t="str">
        <v>HMHU-HU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f>IFERROR(AVERAGE(F18,I18,L18,O18,R18),0)</f>
      </c>
      <c r="U18">
        <f>COUNTIF(E18,H18,K18,N18,Q18,"Y")</f>
      </c>
      <c r="V18" t="str">
        <v/>
      </c>
    </row>
    <row r="19" ht="18" customHeight="1">
      <c r="A19" t="str">
        <v>유럽</v>
      </c>
      <c r="B19" t="str">
        <v>폴란드</v>
      </c>
      <c r="C19" t="str">
        <v>Hyundai Mobis Poland</v>
      </c>
      <c r="D19" t="str">
        <v>HMPL-PL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>
        <f>IFERROR(AVERAGE(F19,I19,L19,O19,R19),0)</f>
      </c>
      <c r="U19">
        <f>COUNTIF(E19,H19,K19,N19,Q19,"Y")</f>
      </c>
      <c r="V19" t="str">
        <v/>
      </c>
    </row>
    <row r="20" ht="18" customHeight="1">
      <c r="A20" t="str">
        <v>유럽</v>
      </c>
      <c r="B20" t="str">
        <v>네덜란드</v>
      </c>
      <c r="C20" t="str">
        <v>Hyundai Mobis Netherlands</v>
      </c>
      <c r="D20" t="str">
        <v>HMNL-NL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f>IFERROR(AVERAGE(F20,I20,L20,O20,R20),0)</f>
      </c>
      <c r="U20">
        <f>COUNTIF(E20,H20,K20,N20,Q20,"Y")</f>
      </c>
      <c r="V20" t="str">
        <v/>
      </c>
    </row>
    <row r="21" ht="18" customHeight="1">
      <c r="A21" t="str">
        <v>유럽</v>
      </c>
      <c r="B21" t="str">
        <v>튀르키예</v>
      </c>
      <c r="C21" t="str">
        <v>Hyundai Mobis Turkey</v>
      </c>
      <c r="D21" t="str">
        <v>HMTR-TR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f>IFERROR(AVERAGE(F21,I21,L21,O21,R21),0)</f>
      </c>
      <c r="U21">
        <f>COUNTIF(E21,H21,K21,N21,Q21,"Y")</f>
      </c>
      <c r="V21" t="str">
        <v/>
      </c>
    </row>
    <row r="22" ht="18" customHeight="1">
      <c r="A22" t="str">
        <v>유럽</v>
      </c>
      <c r="B22" t="str">
        <v>스페인</v>
      </c>
      <c r="C22" t="str">
        <v>Hyundai Mobis Spain</v>
      </c>
      <c r="D22" t="str">
        <v>HMES-ES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>
        <f>IFERROR(AVERAGE(F22,I22,L22,O22,R22),0)</f>
      </c>
      <c r="U22">
        <f>COUNTIF(E22,H22,K22,N22,Q22,"Y")</f>
      </c>
      <c r="V22" t="str">
        <v/>
      </c>
    </row>
    <row r="23" ht="18" customHeight="1">
      <c r="A23" t="str">
        <v>미주</v>
      </c>
      <c r="B23" t="str">
        <v>미국</v>
      </c>
      <c r="C23" t="str">
        <v>Hyundai Mobis America (Michigan)</v>
      </c>
      <c r="D23" t="str">
        <v>HMMA-US-MI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f>IFERROR(AVERAGE(F23,I23,L23,O23,R23),0)</f>
      </c>
      <c r="U23">
        <f>COUNTIF(E23,H23,K23,N23,Q23,"Y")</f>
      </c>
      <c r="V23" t="str">
        <v/>
      </c>
    </row>
    <row r="24" ht="18" customHeight="1">
      <c r="A24" t="str">
        <v>미주</v>
      </c>
      <c r="B24" t="str">
        <v>미국</v>
      </c>
      <c r="C24" t="str">
        <v>Hyundai Mobis Alabama</v>
      </c>
      <c r="D24" t="str">
        <v>HMMA-US-AL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>
        <f>IFERROR(AVERAGE(F24,I24,L24,O24,R24),0)</f>
      </c>
      <c r="U24">
        <f>COUNTIF(E24,H24,K24,N24,Q24,"Y")</f>
      </c>
      <c r="V24" t="str">
        <v/>
      </c>
    </row>
    <row r="25" ht="18" customHeight="1">
      <c r="A25" t="str">
        <v>미주</v>
      </c>
      <c r="B25" t="str">
        <v>미국</v>
      </c>
      <c r="C25" t="str">
        <v>Hyundai Mobis Georgia</v>
      </c>
      <c r="D25" t="str">
        <v>HMMA-US-GA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f>IFERROR(AVERAGE(F25,I25,L25,O25,R25),0)</f>
      </c>
      <c r="U25">
        <f>COUNTIF(E25,H25,K25,N25,Q25,"Y")</f>
      </c>
      <c r="V25" t="str">
        <v/>
      </c>
    </row>
    <row r="26" ht="18" customHeight="1">
      <c r="A26" t="str">
        <v>미주</v>
      </c>
      <c r="B26" t="str">
        <v>캐나다</v>
      </c>
      <c r="C26" t="str">
        <v>Hyundai Mobis Canada</v>
      </c>
      <c r="D26" t="str">
        <v>HMCA-CA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f>IFERROR(AVERAGE(F26,I26,L26,O26,R26),0)</f>
      </c>
      <c r="U26">
        <f>COUNTIF(E26,H26,K26,N26,Q26,"Y")</f>
      </c>
      <c r="V26" t="str">
        <v/>
      </c>
    </row>
    <row r="27" ht="18" customHeight="1">
      <c r="A27" t="str">
        <v>미주</v>
      </c>
      <c r="B27" t="str">
        <v>멕시코</v>
      </c>
      <c r="C27" t="str">
        <v>Hyundai Mobis Mexico</v>
      </c>
      <c r="D27" t="str">
        <v>HMMX-MX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>
        <f>IFERROR(AVERAGE(F27,I27,L27,O27,R27),0)</f>
      </c>
      <c r="U27">
        <f>COUNTIF(E27,H27,K27,N27,Q27,"Y")</f>
      </c>
      <c r="V27" t="str">
        <v/>
      </c>
    </row>
    <row r="28" ht="18" customHeight="1">
      <c r="A28" t="str">
        <v>미주</v>
      </c>
      <c r="B28" t="str">
        <v>브라질</v>
      </c>
      <c r="C28" t="str">
        <v>Hyundai Mobis Brazil</v>
      </c>
      <c r="D28" t="str">
        <v>HMBR-BR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f>IFERROR(AVERAGE(F28,I28,L28,O28,R28),0)</f>
      </c>
      <c r="U28">
        <f>COUNTIF(E28,H28,K28,N28,Q28,"Y")</f>
      </c>
      <c r="V28" t="str">
        <v/>
      </c>
    </row>
    <row r="29" ht="18" customHeight="1">
      <c r="A29" t="str">
        <v>중동·아프리카</v>
      </c>
      <c r="B29" t="str">
        <v>UAE</v>
      </c>
      <c r="C29" t="str">
        <v>Hyundai Mobis Middle East (Dubai)</v>
      </c>
      <c r="D29" t="str">
        <v>HMME-AE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f>IFERROR(AVERAGE(F29,I29,L29,O29,R29),0)</f>
      </c>
      <c r="U29">
        <f>COUNTIF(E29,H29,K29,N29,Q29,"Y")</f>
      </c>
      <c r="V29" t="str">
        <v/>
      </c>
    </row>
    <row r="30" ht="18" customHeight="1">
      <c r="A30" t="str">
        <v>중동·아프리카</v>
      </c>
      <c r="B30" t="str">
        <v>남아프리카공화국</v>
      </c>
      <c r="C30" t="str">
        <v>Hyundai Mobis South Africa</v>
      </c>
      <c r="D30" t="str">
        <v>HMZA-ZA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>
        <f>IFERROR(AVERAGE(F30,I30,L30,O30,R30),0)</f>
      </c>
      <c r="U30">
        <f>COUNTIF(E30,H30,K30,N30,Q30,"Y")</f>
      </c>
      <c r="V30" t="str">
        <v/>
      </c>
    </row>
    <row r="31" ht="20" customHeight="1">
      <c r="A31" t="str">
        <v>전체 평균</v>
      </c>
      <c r="E31">
        <f>COUNTIF(E5:E30,"Y")&amp;"/"&amp;COUNTA(E5:E30)</f>
      </c>
      <c r="F31">
        <f>IFERROR(AVERAGE(F5:F30),0)</f>
      </c>
      <c r="G31" t="str">
        <v/>
      </c>
      <c r="H31">
        <f>COUNTIF(H5:H30,"Y")&amp;"/"&amp;COUNTA(H5:H30)</f>
      </c>
      <c r="I31">
        <f>IFERROR(AVERAGE(I5:I30),0)</f>
      </c>
      <c r="J31" t="str">
        <v/>
      </c>
      <c r="K31">
        <f>COUNTIF(K5:K30,"Y")&amp;"/"&amp;COUNTA(K5:K30)</f>
      </c>
      <c r="L31">
        <f>IFERROR(AVERAGE(L5:L30),0)</f>
      </c>
      <c r="M31" t="str">
        <v/>
      </c>
      <c r="N31">
        <f>COUNTIF(N5:N30,"Y")&amp;"/"&amp;COUNTA(N5:N30)</f>
      </c>
      <c r="O31">
        <f>IFERROR(AVERAGE(O5:O30),0)</f>
      </c>
      <c r="P31" t="str">
        <v/>
      </c>
      <c r="Q31">
        <f>COUNTIF(Q5:Q30,"Y")&amp;"/"&amp;COUNTA(Q5:Q30)</f>
      </c>
      <c r="R31">
        <f>IFERROR(AVERAGE(R5:R30),0)</f>
      </c>
      <c r="S31" t="str">
        <v/>
      </c>
      <c r="T31">
        <f>IFERROR(AVERAGE(T5:T30),0)</f>
      </c>
      <c r="U31">
        <f>SUM(U5:U30)</f>
      </c>
      <c r="V31" t="str">
        <v/>
      </c>
    </row>
  </sheetData>
  <mergeCells count="10">
    <mergeCell ref="A1:R1"/>
    <mergeCell ref="A2:R2"/>
    <mergeCell ref="A3:D3"/>
    <mergeCell ref="E3:G3"/>
    <mergeCell ref="H3:J3"/>
    <mergeCell ref="K3:M3"/>
    <mergeCell ref="N3:P3"/>
    <mergeCell ref="Q3:S3"/>
    <mergeCell ref="T3:V3"/>
    <mergeCell ref="A31:D31"/>
  </mergeCells>
  <ignoredErrors>
    <ignoredError numberStoredAsText="1" sqref="A1: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2.83203125" customWidth="1"/>
    <col min="2" max="2" width="22.83203125" customWidth="1"/>
    <col min="3" max="3" width="50.83203125" customWidth="1"/>
  </cols>
  <sheetData>
    <row r="1" ht="28" customHeight="1">
      <c r="A1" t="str">
        <v>현대모비스 해외법인 보안솔루션 설치현황 — 입력 가이드</v>
      </c>
    </row>
    <row r="2">
      <c r="A2" t="str">
        <v/>
      </c>
    </row>
    <row r="3">
      <c r="A3" t="str">
        <v>■ 작성 방법</v>
      </c>
    </row>
    <row r="4">
      <c r="A4" t="str">
        <v>항목</v>
      </c>
      <c r="B4" t="str">
        <v>입력값</v>
      </c>
      <c r="C4" t="str">
        <v>설명</v>
      </c>
    </row>
    <row r="5">
      <c r="A5" t="str">
        <v>설치여부</v>
      </c>
      <c r="B5" t="str">
        <v>Y 또는 N</v>
      </c>
      <c r="C5" t="str">
        <v>설치 완료 시 Y, 미설치 또는 진행 중 시 N 입력</v>
      </c>
    </row>
    <row r="6">
      <c r="A6" t="str">
        <v>설치율(%)</v>
      </c>
      <c r="B6" t="str">
        <v>0 ~ 100 숫자</v>
      </c>
      <c r="C6" t="str">
        <v>설치 완료 비율. 예) 부분 설치 완료 시 50, 전체 완료 시 100</v>
      </c>
    </row>
    <row r="7">
      <c r="A7" t="str">
        <v>비고</v>
      </c>
      <c r="B7" t="str">
        <v>자유 텍스트</v>
      </c>
      <c r="C7" t="str">
        <v>설치 예정일, 이슈사항, 담당자 등 기재</v>
      </c>
    </row>
    <row r="8">
      <c r="A8" t="str">
        <v/>
      </c>
    </row>
    <row r="9">
      <c r="A9" t="str">
        <v>■ 보안솔루션 설명</v>
      </c>
    </row>
    <row r="10">
      <c r="A10" t="str">
        <v>솔루션</v>
      </c>
      <c r="B10" t="str">
        <v>풀네임</v>
      </c>
      <c r="C10" t="str">
        <v>설명</v>
      </c>
    </row>
    <row r="11">
      <c r="A11" t="str">
        <v>SAC</v>
      </c>
      <c r="B11" t="str">
        <v xml:space="preserve">Secure Access Control </v>
      </c>
      <c r="C11" t="str">
        <v>계정·접근관리)</v>
      </c>
    </row>
    <row r="12">
      <c r="A12" t="str">
        <v>DAC</v>
      </c>
      <c r="B12" t="str">
        <v xml:space="preserve">Data Access Control </v>
      </c>
      <c r="C12" t="str">
        <v>데이터접근제어)</v>
      </c>
    </row>
    <row r="13">
      <c r="A13" t="str">
        <v>VMS</v>
      </c>
      <c r="B13" t="str">
        <v xml:space="preserve">Vulnerability Management System </v>
      </c>
      <c r="C13" t="str">
        <v>취약점관리)</v>
      </c>
    </row>
    <row r="14">
      <c r="A14" t="str">
        <v>AV</v>
      </c>
      <c r="B14" t="str">
        <v xml:space="preserve">Anti-Virus </v>
      </c>
      <c r="C14" t="str">
        <v>악성코드 방지)</v>
      </c>
    </row>
    <row r="15">
      <c r="A15" t="str">
        <v>EDR</v>
      </c>
      <c r="B15" t="str">
        <v xml:space="preserve">Endpoint Detection &amp; Response </v>
      </c>
      <c r="C15" t="str">
        <v>엔드포인트탐지대응)</v>
      </c>
    </row>
    <row r="16">
      <c r="A16" t="str">
        <v/>
      </c>
    </row>
    <row r="17">
      <c r="A17" t="str">
        <v>■ 지역 구분</v>
      </c>
    </row>
    <row r="18">
      <c r="A18" t="str">
        <v>지역</v>
      </c>
      <c r="B18" t="str">
        <v>포함 국가</v>
      </c>
    </row>
    <row r="19">
      <c r="A19" t="str">
        <v>아시아</v>
      </c>
      <c r="B19" t="str">
        <v>중국, 인도, 일본, 인도네시아, 베트남, 태국, 호주</v>
      </c>
    </row>
    <row r="20">
      <c r="A20" t="str">
        <v>유럽</v>
      </c>
      <c r="B20" t="str">
        <v>독일, 체코, 슬로바키아, 헝가리, 폴란드, 네덜란드, 튀르키예, 스페인</v>
      </c>
    </row>
    <row r="21">
      <c r="A21" t="str">
        <v>미주</v>
      </c>
      <c r="B21" t="str">
        <v>미국, 캐나다, 멕시코, 브라질</v>
      </c>
    </row>
    <row r="22">
      <c r="A22" t="str">
        <v>중동·아프리카</v>
      </c>
      <c r="B22" t="str">
        <v>UAE, 남아프리카공화국</v>
      </c>
    </row>
    <row r="23">
      <c r="A23" t="str">
        <v/>
      </c>
    </row>
    <row r="24">
      <c r="A24" t="str">
        <v>■ 주의사항</v>
      </c>
    </row>
    <row r="25">
      <c r="A25" t="str">
        <v>· 법인명, 법인코드, 지역, 국가는 수정하지 마십시오.</v>
      </c>
    </row>
    <row r="26">
      <c r="A26" t="str">
        <v>· 설치여부는 반드시 대문자 Y 또는 N 만 입력하십시오.</v>
      </c>
    </row>
    <row r="27">
      <c r="A27" t="str">
        <v>· 설치율(%)은 숫자만 입력하십시오. (% 기호 불필요)</v>
      </c>
    </row>
    <row r="28">
      <c r="A28" t="str">
        <v>· 작성 완료 후 파일명을 "YYYYMM_보안솔루션설치현황.xlsx" 형식으로 저장하십시오.</v>
      </c>
    </row>
    <row r="29">
      <c r="A29" t="str">
        <v>· 문의: 현대모비스 그룹보안팀 (security@mobis.co.kr)</v>
      </c>
    </row>
  </sheetData>
  <mergeCells count="1">
    <mergeCell ref="A1:C1"/>
  </mergeCells>
  <ignoredErrors>
    <ignoredError numberStoredAsText="1" sqref="A1:C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5.83203125" customWidth="1"/>
    <col min="2" max="2" width="12.83203125" customWidth="1"/>
    <col min="3" max="3" width="14.83203125" customWidth="1"/>
    <col min="4" max="4" width="36.83203125" customWidth="1"/>
    <col min="5" max="5" width="14.83203125" customWidth="1"/>
    <col min="6" max="6" width="20.83203125" customWidth="1"/>
  </cols>
  <sheetData>
    <row r="1">
      <c r="A1" t="str">
        <v>No</v>
      </c>
      <c r="B1" t="str">
        <v>지역</v>
      </c>
      <c r="C1" t="str">
        <v>국가</v>
      </c>
      <c r="D1" t="str">
        <v>법인명(영문)</v>
      </c>
      <c r="E1" t="str">
        <v>법인코드</v>
      </c>
      <c r="F1" t="str">
        <v>비고</v>
      </c>
    </row>
    <row r="2">
      <c r="A2">
        <v>1</v>
      </c>
      <c r="B2" t="str">
        <v>아시아</v>
      </c>
      <c r="C2" t="str">
        <v>중국</v>
      </c>
      <c r="D2" t="str">
        <v>Mobis Parts China (Beijing)</v>
      </c>
      <c r="E2" t="str">
        <v>MPC-CN-BJ</v>
      </c>
      <c r="F2" t="str">
        <v/>
      </c>
    </row>
    <row r="3">
      <c r="A3">
        <v>2</v>
      </c>
      <c r="B3" t="str">
        <v>아시아</v>
      </c>
      <c r="C3" t="str">
        <v>중국</v>
      </c>
      <c r="D3" t="str">
        <v>Mobis Parts China (Shanghai)</v>
      </c>
      <c r="E3" t="str">
        <v>MPC-CN-SH</v>
      </c>
      <c r="F3" t="str">
        <v/>
      </c>
    </row>
    <row r="4">
      <c r="A4">
        <v>3</v>
      </c>
      <c r="B4" t="str">
        <v>아시아</v>
      </c>
      <c r="C4" t="str">
        <v>중국</v>
      </c>
      <c r="D4" t="str">
        <v>Hyundai Mobis China (Guangzhou)</v>
      </c>
      <c r="E4" t="str">
        <v>HMC-CN-GZ</v>
      </c>
      <c r="F4" t="str">
        <v/>
      </c>
    </row>
    <row r="5">
      <c r="A5">
        <v>4</v>
      </c>
      <c r="B5" t="str">
        <v>아시아</v>
      </c>
      <c r="C5" t="str">
        <v>인도</v>
      </c>
      <c r="D5" t="str">
        <v>Hyundai Mobis India (Chennai)</v>
      </c>
      <c r="E5" t="str">
        <v>HMI-IN-CH</v>
      </c>
      <c r="F5" t="str">
        <v/>
      </c>
    </row>
    <row r="6">
      <c r="A6">
        <v>5</v>
      </c>
      <c r="B6" t="str">
        <v>아시아</v>
      </c>
      <c r="C6" t="str">
        <v>인도</v>
      </c>
      <c r="D6" t="str">
        <v>Hyundai Mobis India (Delhi)</v>
      </c>
      <c r="E6" t="str">
        <v>HMI-IN-DL</v>
      </c>
      <c r="F6" t="str">
        <v/>
      </c>
    </row>
    <row r="7">
      <c r="A7">
        <v>6</v>
      </c>
      <c r="B7" t="str">
        <v>아시아</v>
      </c>
      <c r="C7" t="str">
        <v>일본</v>
      </c>
      <c r="D7" t="str">
        <v>Hyundai Mobis Japan</v>
      </c>
      <c r="E7" t="str">
        <v>HMJ-JP</v>
      </c>
      <c r="F7" t="str">
        <v/>
      </c>
    </row>
    <row r="8">
      <c r="A8">
        <v>7</v>
      </c>
      <c r="B8" t="str">
        <v>아시아</v>
      </c>
      <c r="C8" t="str">
        <v>인도네시아</v>
      </c>
      <c r="D8" t="str">
        <v>Hyundai Mobis Indonesia</v>
      </c>
      <c r="E8" t="str">
        <v>HMID-ID</v>
      </c>
      <c r="F8" t="str">
        <v/>
      </c>
    </row>
    <row r="9">
      <c r="A9">
        <v>8</v>
      </c>
      <c r="B9" t="str">
        <v>아시아</v>
      </c>
      <c r="C9" t="str">
        <v>베트남</v>
      </c>
      <c r="D9" t="str">
        <v>Hyundai Mobis Vietnam</v>
      </c>
      <c r="E9" t="str">
        <v>HMVN-VN</v>
      </c>
      <c r="F9" t="str">
        <v/>
      </c>
    </row>
    <row r="10">
      <c r="A10">
        <v>9</v>
      </c>
      <c r="B10" t="str">
        <v>아시아</v>
      </c>
      <c r="C10" t="str">
        <v>태국</v>
      </c>
      <c r="D10" t="str">
        <v>Hyundai Mobis Thailand</v>
      </c>
      <c r="E10" t="str">
        <v>HMT-TH</v>
      </c>
      <c r="F10" t="str">
        <v/>
      </c>
    </row>
    <row r="11">
      <c r="A11">
        <v>10</v>
      </c>
      <c r="B11" t="str">
        <v>아시아</v>
      </c>
      <c r="C11" t="str">
        <v>호주</v>
      </c>
      <c r="D11" t="str">
        <v>Hyundai Mobis Australia</v>
      </c>
      <c r="E11" t="str">
        <v>HMA-AU</v>
      </c>
      <c r="F11" t="str">
        <v/>
      </c>
    </row>
    <row r="12">
      <c r="A12">
        <v>11</v>
      </c>
      <c r="B12" t="str">
        <v>유럽</v>
      </c>
      <c r="C12" t="str">
        <v>독일</v>
      </c>
      <c r="D12" t="str">
        <v>Hyundai Mobis Germany</v>
      </c>
      <c r="E12" t="str">
        <v>HMDE-DE</v>
      </c>
      <c r="F12" t="str">
        <v/>
      </c>
    </row>
    <row r="13">
      <c r="A13">
        <v>12</v>
      </c>
      <c r="B13" t="str">
        <v>유럽</v>
      </c>
      <c r="C13" t="str">
        <v>체코</v>
      </c>
      <c r="D13" t="str">
        <v>Hyundai Mobis Czech</v>
      </c>
      <c r="E13" t="str">
        <v>HMCZ-CZ</v>
      </c>
      <c r="F13" t="str">
        <v/>
      </c>
    </row>
    <row r="14">
      <c r="A14">
        <v>13</v>
      </c>
      <c r="B14" t="str">
        <v>유럽</v>
      </c>
      <c r="C14" t="str">
        <v>슬로바키아</v>
      </c>
      <c r="D14" t="str">
        <v>Hyundai Mobis Slovakia</v>
      </c>
      <c r="E14" t="str">
        <v>HMSK-SK</v>
      </c>
      <c r="F14" t="str">
        <v/>
      </c>
    </row>
    <row r="15">
      <c r="A15">
        <v>14</v>
      </c>
      <c r="B15" t="str">
        <v>유럽</v>
      </c>
      <c r="C15" t="str">
        <v>헝가리</v>
      </c>
      <c r="D15" t="str">
        <v>Hyundai Mobis Hungary</v>
      </c>
      <c r="E15" t="str">
        <v>HMHU-HU</v>
      </c>
      <c r="F15" t="str">
        <v/>
      </c>
    </row>
    <row r="16">
      <c r="A16">
        <v>15</v>
      </c>
      <c r="B16" t="str">
        <v>유럽</v>
      </c>
      <c r="C16" t="str">
        <v>폴란드</v>
      </c>
      <c r="D16" t="str">
        <v>Hyundai Mobis Poland</v>
      </c>
      <c r="E16" t="str">
        <v>HMPL-PL</v>
      </c>
      <c r="F16" t="str">
        <v/>
      </c>
    </row>
    <row r="17">
      <c r="A17">
        <v>16</v>
      </c>
      <c r="B17" t="str">
        <v>유럽</v>
      </c>
      <c r="C17" t="str">
        <v>네덜란드</v>
      </c>
      <c r="D17" t="str">
        <v>Hyundai Mobis Netherlands</v>
      </c>
      <c r="E17" t="str">
        <v>HMNL-NL</v>
      </c>
      <c r="F17" t="str">
        <v/>
      </c>
    </row>
    <row r="18">
      <c r="A18">
        <v>17</v>
      </c>
      <c r="B18" t="str">
        <v>유럽</v>
      </c>
      <c r="C18" t="str">
        <v>튀르키예</v>
      </c>
      <c r="D18" t="str">
        <v>Hyundai Mobis Turkey</v>
      </c>
      <c r="E18" t="str">
        <v>HMTR-TR</v>
      </c>
      <c r="F18" t="str">
        <v/>
      </c>
    </row>
    <row r="19">
      <c r="A19">
        <v>18</v>
      </c>
      <c r="B19" t="str">
        <v>유럽</v>
      </c>
      <c r="C19" t="str">
        <v>스페인</v>
      </c>
      <c r="D19" t="str">
        <v>Hyundai Mobis Spain</v>
      </c>
      <c r="E19" t="str">
        <v>HMES-ES</v>
      </c>
      <c r="F19" t="str">
        <v/>
      </c>
    </row>
    <row r="20">
      <c r="A20">
        <v>19</v>
      </c>
      <c r="B20" t="str">
        <v>미주</v>
      </c>
      <c r="C20" t="str">
        <v>미국</v>
      </c>
      <c r="D20" t="str">
        <v>Hyundai Mobis America (Michigan)</v>
      </c>
      <c r="E20" t="str">
        <v>HMMA-US-MI</v>
      </c>
      <c r="F20" t="str">
        <v/>
      </c>
    </row>
    <row r="21">
      <c r="A21">
        <v>20</v>
      </c>
      <c r="B21" t="str">
        <v>미주</v>
      </c>
      <c r="C21" t="str">
        <v>미국</v>
      </c>
      <c r="D21" t="str">
        <v>Hyundai Mobis Alabama</v>
      </c>
      <c r="E21" t="str">
        <v>HMMA-US-AL</v>
      </c>
      <c r="F21" t="str">
        <v/>
      </c>
    </row>
    <row r="22">
      <c r="A22">
        <v>21</v>
      </c>
      <c r="B22" t="str">
        <v>미주</v>
      </c>
      <c r="C22" t="str">
        <v>미국</v>
      </c>
      <c r="D22" t="str">
        <v>Hyundai Mobis Georgia</v>
      </c>
      <c r="E22" t="str">
        <v>HMMA-US-GA</v>
      </c>
      <c r="F22" t="str">
        <v/>
      </c>
    </row>
    <row r="23">
      <c r="A23">
        <v>22</v>
      </c>
      <c r="B23" t="str">
        <v>미주</v>
      </c>
      <c r="C23" t="str">
        <v>캐나다</v>
      </c>
      <c r="D23" t="str">
        <v>Hyundai Mobis Canada</v>
      </c>
      <c r="E23" t="str">
        <v>HMCA-CA</v>
      </c>
      <c r="F23" t="str">
        <v/>
      </c>
    </row>
    <row r="24">
      <c r="A24">
        <v>23</v>
      </c>
      <c r="B24" t="str">
        <v>미주</v>
      </c>
      <c r="C24" t="str">
        <v>멕시코</v>
      </c>
      <c r="D24" t="str">
        <v>Hyundai Mobis Mexico</v>
      </c>
      <c r="E24" t="str">
        <v>HMMX-MX</v>
      </c>
      <c r="F24" t="str">
        <v/>
      </c>
    </row>
    <row r="25">
      <c r="A25">
        <v>24</v>
      </c>
      <c r="B25" t="str">
        <v>미주</v>
      </c>
      <c r="C25" t="str">
        <v>브라질</v>
      </c>
      <c r="D25" t="str">
        <v>Hyundai Mobis Brazil</v>
      </c>
      <c r="E25" t="str">
        <v>HMBR-BR</v>
      </c>
      <c r="F25" t="str">
        <v/>
      </c>
    </row>
    <row r="26">
      <c r="A26">
        <v>25</v>
      </c>
      <c r="B26" t="str">
        <v>중동·아프리카</v>
      </c>
      <c r="C26" t="str">
        <v>UAE</v>
      </c>
      <c r="D26" t="str">
        <v>Hyundai Mobis Middle East (Dubai)</v>
      </c>
      <c r="E26" t="str">
        <v>HMME-AE</v>
      </c>
      <c r="F26" t="str">
        <v/>
      </c>
    </row>
    <row r="27">
      <c r="A27">
        <v>26</v>
      </c>
      <c r="B27" t="str">
        <v>중동·아프리카</v>
      </c>
      <c r="C27" t="str">
        <v>남아프리카공화국</v>
      </c>
      <c r="D27" t="str">
        <v>Hyundai Mobis South Africa</v>
      </c>
      <c r="E27" t="str">
        <v>HMZA-ZA</v>
      </c>
      <c r="F27" t="str">
        <v/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Hyundai Mobis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설치현황</vt:lpstr>
      <vt:lpstr>입력가이드</vt:lpstr>
      <vt:lpstr>법인목록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2026-06-15T05:34:57Z</dcterms:created>
  <dc:creator>현대모비스 그룹보안팀</dc:creator>
  <dc:title>현대모비스 해외법인 보안솔루션 설치현황</dc:title>
</cp:coreProperties>
</file>